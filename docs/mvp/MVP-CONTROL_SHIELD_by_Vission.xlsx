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showInkAnnotation="0" autoCompressPictures="0"/>
  <xr:revisionPtr revIDLastSave="1" documentId="11_F5EADC44FEFE44677CA9654AE551D7F601217CD9" xr6:coauthVersionLast="47" xr6:coauthVersionMax="47" xr10:uidLastSave="{D5BBEFF6-293A-421B-B71F-D4083FAE1507}"/>
  <bookViews>
    <workbookView xWindow="0" yWindow="0" windowWidth="0" windowHeight="0" xr2:uid="{00000000-000D-0000-FFFF-FFFF00000000}"/>
  </bookViews>
  <sheets>
    <sheet name="MVP Control" sheetId="1" r:id="rId1"/>
    <sheet name="Catálogos" sheetId="2" r:id="rId2"/>
    <sheet name="Resumen" sheetId="3" r:id="rId3"/>
    <sheet name="Instruccione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E4" i="3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E7" i="1"/>
  <c r="B7" i="3" s="1"/>
  <c r="E6" i="1"/>
  <c r="B6" i="3" s="1"/>
  <c r="B6" i="1"/>
  <c r="E5" i="1"/>
  <c r="B5" i="3" s="1"/>
  <c r="E4" i="1"/>
  <c r="B4" i="3" l="1"/>
  <c r="E8" i="1"/>
  <c r="B8" i="3" s="1"/>
</calcChain>
</file>

<file path=xl/sharedStrings.xml><?xml version="1.0" encoding="utf-8"?>
<sst xmlns="http://schemas.openxmlformats.org/spreadsheetml/2006/main" count="255" uniqueCount="176">
  <si>
    <t>SHIELD by Vission — Control del MVP (2 semanas)</t>
  </si>
  <si>
    <t>Proyecto</t>
  </si>
  <si>
    <t>SHIELD by Vission</t>
  </si>
  <si>
    <t>KPI</t>
  </si>
  <si>
    <t>Valor</t>
  </si>
  <si>
    <t>Objetivo</t>
  </si>
  <si>
    <t>Corregir bloqueantes, completar pendientes MVP y liberar a producción</t>
  </si>
  <si>
    <t>Total tickets</t>
  </si>
  <si>
    <t>Fecha inicio</t>
  </si>
  <si>
    <t>Cerrados</t>
  </si>
  <si>
    <t>Fecha objetivo</t>
  </si>
  <si>
    <t>En curso</t>
  </si>
  <si>
    <t>Responsable técnico</t>
  </si>
  <si>
    <t>Israel</t>
  </si>
  <si>
    <t>Bloqueados</t>
  </si>
  <si>
    <t>Avance</t>
  </si>
  <si>
    <t>Ticket</t>
  </si>
  <si>
    <t>Orden</t>
  </si>
  <si>
    <t>Módulo / Brecha</t>
  </si>
  <si>
    <t>Prioridad</t>
  </si>
  <si>
    <t>En alcance</t>
  </si>
  <si>
    <t>Responsable</t>
  </si>
  <si>
    <t>Inicio plan</t>
  </si>
  <si>
    <t>Estado</t>
  </si>
  <si>
    <t>Fin plan</t>
  </si>
  <si>
    <t>Fin real</t>
  </si>
  <si>
    <t>Dependencias</t>
  </si>
  <si>
    <t>Archivos principales</t>
  </si>
  <si>
    <t>Qué falta / Acción</t>
  </si>
  <si>
    <t>Prueba mínima</t>
  </si>
  <si>
    <t>Resultado prueba</t>
  </si>
  <si>
    <t>Bloqueo / Decisión</t>
  </si>
  <si>
    <t>Evidencia / PR</t>
  </si>
  <si>
    <t>Observaciones</t>
  </si>
  <si>
    <t>COR-001</t>
  </si>
  <si>
    <t>Contener /test-css</t>
  </si>
  <si>
    <t>P0</t>
  </si>
  <si>
    <t>Sí</t>
  </si>
  <si>
    <t>Pendiente</t>
  </si>
  <si>
    <t>Confirmar si Production corresponde al código actual</t>
  </si>
  <si>
    <t>frontend/src/app/; configuración Vercel</t>
  </si>
  <si>
    <t>Confirmar existencia y retirar o bloquear la ruta</t>
  </si>
  <si>
    <t>GET anónimo 404/redirect + build + rutas principales</t>
  </si>
  <si>
    <t>COR-002</t>
  </si>
  <si>
    <t>Contener Dashboard simulado</t>
  </si>
  <si>
    <t>Decisión: retiro, aviso o página institucional</t>
  </si>
  <si>
    <t>frontend/src/app/dashboard/page.tsx</t>
  </si>
  <si>
    <t>Eliminar o rotular métricas, actividad y estado simulados</t>
  </si>
  <si>
    <t>Sin datos falsos; validación por rol y responsive</t>
  </si>
  <si>
    <t>COR-003</t>
  </si>
  <si>
    <t>Completar CRUD de Empresas</t>
  </si>
  <si>
    <t>Contrato, modelo, reglas, RFC y alcance empresarial</t>
  </si>
  <si>
    <t>backend/src/routes/admin.routes.ts; frontend/src/app/admin/*empresa*</t>
  </si>
  <si>
    <t>Implementar POST, GET individual y PUT/PATCH; conectar UI y errores</t>
  </si>
  <si>
    <t>Alta, edición, listado, 400/401/403/404/409</t>
  </si>
  <si>
    <t>COR-004</t>
  </si>
  <si>
    <t>Carga Masiva end-to-end</t>
  </si>
  <si>
    <t>Por confirmar</t>
  </si>
  <si>
    <t>Confirmar si entra en el MVP; definir atomicidad, límites y duplicados</t>
  </si>
  <si>
    <t>frontend/src/app/cliente/carga-masiva/page.tsx; backend/src/routes/cliente.routes.ts</t>
  </si>
  <si>
    <t>Parser, endpoint, permisos, validación por fila y resumen</t>
  </si>
  <si>
    <t>CSV válido, inválido, duplicado, rollback/resumen, 401/403</t>
  </si>
  <si>
    <t>Decisión de alcance pendiente</t>
  </si>
  <si>
    <t>COR-005</t>
  </si>
  <si>
    <t>Identidad e impresión por empresa</t>
  </si>
  <si>
    <t>Depende de CRUD Empresas, logo, textos legales y almacenamiento</t>
  </si>
  <si>
    <t>frontend/src/app/cliente/clientes/[id]/imprimir/page.tsx; admin.routes.ts</t>
  </si>
  <si>
    <t>Quitar placeholders/IDs técnicos; integrar identidad y aviso por empresa</t>
  </si>
  <si>
    <t>PF/PM/FID para dos empresas + impresión</t>
  </si>
  <si>
    <t>COR-006</t>
  </si>
  <si>
    <t>UX Beneficiario Controlador PF</t>
  </si>
  <si>
    <t>P1</t>
  </si>
  <si>
    <t>Preservar contrato canónico y validaciones</t>
  </si>
  <si>
    <t>frontend/src/app/cliente/registrar-cliente/ClientPage.tsx; validate.ts</t>
  </si>
  <si>
    <t>Corregir layout, responsive y legibilidad sin cambiar payload</t>
  </si>
  <si>
    <t>Responsive + aplica sí/no + autocoincidencia + payload igual</t>
  </si>
  <si>
    <t>COR-007</t>
  </si>
  <si>
    <t>Catálogo nacional de Códigos Postales</t>
  </si>
  <si>
    <t>Fuente, licencia, normalización, versión y rendimiento</t>
  </si>
  <si>
    <t>frontend/public/catalogos/internos/codigos_postales_mx.json; frontend/src/lib/codigosPostalesMx.ts</t>
  </si>
  <si>
    <t>Integrar cobertura nacional y fallback manual</t>
  </si>
  <si>
    <t>Muestras multiestado, colonias, carga y rendimiento</t>
  </si>
  <si>
    <t>COR-008</t>
  </si>
  <si>
    <t>Depuración de campos de cliente</t>
  </si>
  <si>
    <t>Matriz de campos aprobada; preservar históricos</t>
  </si>
  <si>
    <t>frontend/src/app/cliente/registro, edición, detalle e impresión</t>
  </si>
  <si>
    <t>Retirar u ocultar campos obsoletos y alinear payloads</t>
  </si>
  <si>
    <t>PF/PM/FID + round-trip sin pérdida de datos</t>
  </si>
  <si>
    <t>COR-009</t>
  </si>
  <si>
    <t>Página pública Shield</t>
  </si>
  <si>
    <t>Contenido y CTA aprobados; decisión de Dashboard</t>
  </si>
  <si>
    <t>frontend/src/app/page.tsx; frontend/public/brand/</t>
  </si>
  <si>
    <t>Alinear marca, mensaje, CTA, responsive y accesibilidad</t>
  </si>
  <si>
    <t>Página pública + login + responsive</t>
  </si>
  <si>
    <t>COR-010</t>
  </si>
  <si>
    <t>Seguridad, regresión y liberación</t>
  </si>
  <si>
    <t>Israel / AGLNET</t>
  </si>
  <si>
    <t>Todos los tickets anteriores</t>
  </si>
  <si>
    <t>frontend/src/middleware.ts; backend/src/middleware/; runbook</t>
  </si>
  <si>
    <t>Ejecutar regresión por rol, builds, UAT, smoke y release</t>
  </si>
  <si>
    <t>Matriz roles/empresa + build + UAT + smoke Production</t>
  </si>
  <si>
    <t>Estados</t>
  </si>
  <si>
    <t>Prioridades</t>
  </si>
  <si>
    <t>Sí/No</t>
  </si>
  <si>
    <t>Tipo de prueba</t>
  </si>
  <si>
    <t>Resultado</t>
  </si>
  <si>
    <t>Responsables</t>
  </si>
  <si>
    <t>Build</t>
  </si>
  <si>
    <t>En análisis</t>
  </si>
  <si>
    <t>No</t>
  </si>
  <si>
    <t>Caso objetivo</t>
  </si>
  <si>
    <t>Aprobado</t>
  </si>
  <si>
    <t>AGLNET</t>
  </si>
  <si>
    <t>En desarrollo</t>
  </si>
  <si>
    <t>P2</t>
  </si>
  <si>
    <t>Regresión</t>
  </si>
  <si>
    <t>Rechazado</t>
  </si>
  <si>
    <t>Vission</t>
  </si>
  <si>
    <t>En pruebas</t>
  </si>
  <si>
    <t>Administrativa</t>
  </si>
  <si>
    <t>UAT</t>
  </si>
  <si>
    <t>No aplica</t>
  </si>
  <si>
    <t>Por asignar</t>
  </si>
  <si>
    <t>Bloqueado</t>
  </si>
  <si>
    <t>Smoke Production</t>
  </si>
  <si>
    <t>Cerrado</t>
  </si>
  <si>
    <t>Fuera de alcance</t>
  </si>
  <si>
    <t>Resumen ejecutivo del MVP</t>
  </si>
  <si>
    <t>Indicador</t>
  </si>
  <si>
    <t>Cantidad</t>
  </si>
  <si>
    <t>Reglas de operación</t>
  </si>
  <si>
    <t>1</t>
  </si>
  <si>
    <t>Un ticket a la vez.</t>
  </si>
  <si>
    <t>2</t>
  </si>
  <si>
    <t>No modificar código fuera del ticket activo.</t>
  </si>
  <si>
    <t>3</t>
  </si>
  <si>
    <t>Cada cierre exige build, caso objetivo y regresión.</t>
  </si>
  <si>
    <t>4</t>
  </si>
  <si>
    <t>No ejecutar escrituras contra Production sin autorización.</t>
  </si>
  <si>
    <t>5</t>
  </si>
  <si>
    <t>Todo bloqueo o decisión debe quedar registrado en MVP Control.</t>
  </si>
  <si>
    <t>Cómo usar este archivo</t>
  </si>
  <si>
    <t>Paso</t>
  </si>
  <si>
    <t>Acción</t>
  </si>
  <si>
    <t>Evidencia esperada</t>
  </si>
  <si>
    <t>Cuándo avanzar</t>
  </si>
  <si>
    <t>Si falla</t>
  </si>
  <si>
    <t>Confirmar alcance del ticket y dependencias</t>
  </si>
  <si>
    <t>AGLNET / Vission</t>
  </si>
  <si>
    <t>Decisión en columna P</t>
  </si>
  <si>
    <t>Alcance confirmado</t>
  </si>
  <si>
    <t>Marcar Bloqueado</t>
  </si>
  <si>
    <t>Analizar únicamente el ticket activo en Codex</t>
  </si>
  <si>
    <t>Archivos y causa identificados</t>
  </si>
  <si>
    <t>Impacto entendido</t>
  </si>
  <si>
    <t>No modificar código</t>
  </si>
  <si>
    <t>Realizar cambio mínimo seguro</t>
  </si>
  <si>
    <t>Diff controlado</t>
  </si>
  <si>
    <t>Build correcto</t>
  </si>
  <si>
    <t>Revertir o corregir</t>
  </si>
  <si>
    <t>Ejecutar prueba del caso objetivo</t>
  </si>
  <si>
    <t>Resultado y evidencia</t>
  </si>
  <si>
    <t>Prueba aprobada</t>
  </si>
  <si>
    <t>Regresar a desarrollo</t>
  </si>
  <si>
    <t>Ejecutar regresión relacionada</t>
  </si>
  <si>
    <t>Checklist aprobado</t>
  </si>
  <si>
    <t>Sin regresiones</t>
  </si>
  <si>
    <t>No cerrar</t>
  </si>
  <si>
    <t>Crear PR y registrar evidencia</t>
  </si>
  <si>
    <t>URL o identificador en columna Q</t>
  </si>
  <si>
    <t>Revisión aprobada</t>
  </si>
  <si>
    <t>Corregir observaciones</t>
  </si>
  <si>
    <t>Cerrar ticket</t>
  </si>
  <si>
    <t>Estado Cerrado + fecha real</t>
  </si>
  <si>
    <t>Criterios cumplidos</t>
  </si>
  <si>
    <t>Mantener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</si>
</sst>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3" fillId="4" borderId="0" xfId="0" applyFont="1" applyFill="1" applyAlignment="1">
      <alignment horizontal="left" vertical="center"/>
    </xf>
    <xf numFmtId="0" fontId="0" fillId="0" borderId="1" xfId="0" applyBorder="1" applyAlignment="1">
      <alignment wrapText="1"/>
    </xf>
    <xf numFmtId="9" fontId="0" fillId="0" borderId="1" xfId="0" applyNumberFormat="1" applyBorder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8CBA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E69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Tickets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Resumen!$D$4:$D$10</c:f>
              <c:strCache>
                <c:ptCount val="7"/>
                <c:pt idx="0">
                  <c:v>Pendiente</c:v>
                </c:pt>
                <c:pt idx="1">
                  <c:v>En análisis</c:v>
                </c:pt>
                <c:pt idx="2">
                  <c:v>En desarrollo</c:v>
                </c:pt>
                <c:pt idx="3">
                  <c:v>En pruebas</c:v>
                </c:pt>
                <c:pt idx="4">
                  <c:v>Bloqueado</c:v>
                </c:pt>
                <c:pt idx="5">
                  <c:v>Cerrado</c:v>
                </c:pt>
                <c:pt idx="6">
                  <c:v>Fuera de alcance</c:v>
                </c:pt>
              </c:strCache>
            </c:strRef>
          </c:cat>
          <c:val>
            <c:numRef>
              <c:f>Resumen!$E$4:$E$10</c:f>
              <c:numCache>
                <c:formatCode>General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0-4AF8-AA3C-60ACDE07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VPControlTable" displayName="MVPControlTable" ref="A11:R21">
  <tableColumns count="18">
    <tableColumn id="1" xr3:uid="{00000000-0010-0000-0000-000001000000}" name="Ticket"/>
    <tableColumn id="2" xr3:uid="{00000000-0010-0000-0000-000002000000}" name="Orden"/>
    <tableColumn id="3" xr3:uid="{00000000-0010-0000-0000-000003000000}" name="Módulo / Brecha"/>
    <tableColumn id="4" xr3:uid="{00000000-0010-0000-0000-000004000000}" name="Prioridad"/>
    <tableColumn id="5" xr3:uid="{00000000-0010-0000-0000-000005000000}" name="En alcance"/>
    <tableColumn id="6" xr3:uid="{00000000-0010-0000-0000-000006000000}" name="Responsable"/>
    <tableColumn id="7" xr3:uid="{00000000-0010-0000-0000-000007000000}" name="Inicio plan"/>
    <tableColumn id="8" xr3:uid="{00000000-0010-0000-0000-000008000000}" name="Estado"/>
    <tableColumn id="9" xr3:uid="{00000000-0010-0000-0000-000009000000}" name="Fin plan"/>
    <tableColumn id="10" xr3:uid="{00000000-0010-0000-0000-00000A000000}" name="Fin real"/>
    <tableColumn id="11" xr3:uid="{00000000-0010-0000-0000-00000B000000}" name="Dependencias"/>
    <tableColumn id="12" xr3:uid="{00000000-0010-0000-0000-00000C000000}" name="Archivos principales"/>
    <tableColumn id="13" xr3:uid="{00000000-0010-0000-0000-00000D000000}" name="Qué falta / Acción"/>
    <tableColumn id="14" xr3:uid="{00000000-0010-0000-0000-00000E000000}" name="Prueba mínima"/>
    <tableColumn id="15" xr3:uid="{00000000-0010-0000-0000-00000F000000}" name="Resultado prueba"/>
    <tableColumn id="16" xr3:uid="{00000000-0010-0000-0000-000010000000}" name="Bloqueo / Decisión"/>
    <tableColumn id="17" xr3:uid="{00000000-0010-0000-0000-000011000000}" name="Evidencia / PR"/>
    <tableColumn id="18" xr3:uid="{00000000-0010-0000-0000-000012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zoomScaleNormal="100" zoomScaleSheetLayoutView="100" workbookViewId="0">
      <selection activeCell="D23" sqref="D23"/>
    </sheetView>
  </sheetViews>
  <sheetFormatPr defaultRowHeight="15"/>
  <cols>
    <col min="1" max="1" width="12" customWidth="1"/>
    <col min="2" max="2" width="8" customWidth="1"/>
    <col min="3" max="3" width="30" customWidth="1"/>
    <col min="4" max="4" width="10" customWidth="1"/>
    <col min="5" max="5" width="13" customWidth="1"/>
    <col min="6" max="6" width="18" customWidth="1"/>
    <col min="7" max="7" width="12" customWidth="1"/>
    <col min="8" max="8" width="15" customWidth="1"/>
    <col min="9" max="10" width="12" customWidth="1"/>
    <col min="11" max="11" width="34" customWidth="1"/>
    <col min="12" max="12" width="42" customWidth="1"/>
    <col min="13" max="13" width="44" customWidth="1"/>
    <col min="14" max="14" width="42" customWidth="1"/>
    <col min="15" max="15" width="15" customWidth="1"/>
    <col min="16" max="16" width="34" customWidth="1"/>
    <col min="17" max="17" width="28" customWidth="1"/>
    <col min="18" max="18" width="34" customWidth="1"/>
  </cols>
  <sheetData>
    <row r="1" spans="1:18" ht="30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>
      <c r="A3" s="9" t="s">
        <v>1</v>
      </c>
      <c r="B3" s="4" t="s">
        <v>2</v>
      </c>
      <c r="D3" s="1" t="s">
        <v>3</v>
      </c>
      <c r="E3" s="1" t="s">
        <v>4</v>
      </c>
    </row>
    <row r="4" spans="1:18">
      <c r="A4" s="9" t="s">
        <v>5</v>
      </c>
      <c r="B4" s="4" t="s">
        <v>6</v>
      </c>
      <c r="D4" s="2" t="s">
        <v>7</v>
      </c>
      <c r="E4" s="2">
        <f>COUNTA(A12:A30)</f>
        <v>10</v>
      </c>
    </row>
    <row r="5" spans="1:18">
      <c r="A5" s="9" t="s">
        <v>8</v>
      </c>
      <c r="B5" s="10">
        <v>46219</v>
      </c>
      <c r="D5" s="2" t="s">
        <v>9</v>
      </c>
      <c r="E5" s="2">
        <f>COUNTIF(H12:H30,"Cerrado")</f>
        <v>0</v>
      </c>
    </row>
    <row r="6" spans="1:18">
      <c r="A6" s="9" t="s">
        <v>10</v>
      </c>
      <c r="B6" s="10">
        <f>IF(B5="","",B5+13)</f>
        <v>46232</v>
      </c>
      <c r="D6" s="2" t="s">
        <v>11</v>
      </c>
      <c r="E6" s="2">
        <f>COUNTIF(H12:H30,"En análisis")+COUNTIF(H12:H30,"En desarrollo")+COUNTIF(H12:H30,"En pruebas")</f>
        <v>0</v>
      </c>
    </row>
    <row r="7" spans="1:18">
      <c r="A7" s="9" t="s">
        <v>12</v>
      </c>
      <c r="B7" s="4" t="s">
        <v>13</v>
      </c>
      <c r="D7" s="2" t="s">
        <v>14</v>
      </c>
      <c r="E7" s="2">
        <f>COUNTIF(H12:H30,"Bloqueado")</f>
        <v>0</v>
      </c>
    </row>
    <row r="8" spans="1:18">
      <c r="D8" s="2" t="s">
        <v>15</v>
      </c>
      <c r="E8" s="5">
        <f>IF(E4=0,0,E5/E4)</f>
        <v>0</v>
      </c>
    </row>
    <row r="11" spans="1:18" ht="33.950000000000003" customHeight="1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32</v>
      </c>
      <c r="R11" s="1" t="s">
        <v>33</v>
      </c>
    </row>
    <row r="12" spans="1:18">
      <c r="A12" s="4" t="s">
        <v>34</v>
      </c>
      <c r="B12" s="4">
        <v>1</v>
      </c>
      <c r="C12" s="4" t="s">
        <v>35</v>
      </c>
      <c r="D12" s="4" t="s">
        <v>36</v>
      </c>
      <c r="E12" s="4" t="s">
        <v>37</v>
      </c>
      <c r="F12" s="4" t="s">
        <v>13</v>
      </c>
      <c r="G12" s="10">
        <f>IF($B$5="","",$B$5)</f>
        <v>46219</v>
      </c>
      <c r="H12" s="4" t="s">
        <v>38</v>
      </c>
      <c r="I12" s="10">
        <f>IF(G12="","",G12)</f>
        <v>46219</v>
      </c>
      <c r="J12" s="10"/>
      <c r="K12" s="4" t="s">
        <v>39</v>
      </c>
      <c r="L12" s="4" t="s">
        <v>40</v>
      </c>
      <c r="M12" s="4" t="s">
        <v>41</v>
      </c>
      <c r="N12" s="4" t="s">
        <v>42</v>
      </c>
      <c r="O12" s="4" t="s">
        <v>38</v>
      </c>
      <c r="P12" s="4"/>
      <c r="Q12" s="4"/>
      <c r="R12" s="4"/>
    </row>
    <row r="13" spans="1:18">
      <c r="A13" s="4" t="s">
        <v>43</v>
      </c>
      <c r="B13" s="6">
        <v>2</v>
      </c>
      <c r="C13" s="6" t="s">
        <v>44</v>
      </c>
      <c r="D13" s="6" t="s">
        <v>36</v>
      </c>
      <c r="E13" s="6" t="s">
        <v>37</v>
      </c>
      <c r="F13" s="6" t="s">
        <v>13</v>
      </c>
      <c r="G13" s="7">
        <f>IF($B$5="","",$B$5+1)</f>
        <v>46220</v>
      </c>
      <c r="H13" s="6" t="s">
        <v>38</v>
      </c>
      <c r="I13" s="7">
        <f>IF(G13="","",G13+1)</f>
        <v>46221</v>
      </c>
      <c r="J13" s="7"/>
      <c r="K13" s="6" t="s">
        <v>45</v>
      </c>
      <c r="L13" s="6" t="s">
        <v>46</v>
      </c>
      <c r="M13" s="6" t="s">
        <v>47</v>
      </c>
      <c r="N13" s="6" t="s">
        <v>48</v>
      </c>
      <c r="O13" s="6" t="s">
        <v>38</v>
      </c>
      <c r="P13" s="6"/>
      <c r="Q13" s="6"/>
      <c r="R13" s="4"/>
    </row>
    <row r="14" spans="1:18">
      <c r="A14" s="4" t="s">
        <v>49</v>
      </c>
      <c r="B14" s="6">
        <v>3</v>
      </c>
      <c r="C14" s="6" t="s">
        <v>50</v>
      </c>
      <c r="D14" s="6" t="s">
        <v>36</v>
      </c>
      <c r="E14" s="6" t="s">
        <v>37</v>
      </c>
      <c r="F14" s="6" t="s">
        <v>13</v>
      </c>
      <c r="G14" s="7">
        <f>IF($B$5="","",$B$5+2)</f>
        <v>46221</v>
      </c>
      <c r="H14" s="6" t="s">
        <v>38</v>
      </c>
      <c r="I14" s="7">
        <f>IF(G14="","",G14+2)</f>
        <v>46223</v>
      </c>
      <c r="J14" s="7"/>
      <c r="K14" s="6" t="s">
        <v>51</v>
      </c>
      <c r="L14" s="6" t="s">
        <v>52</v>
      </c>
      <c r="M14" s="6" t="s">
        <v>53</v>
      </c>
      <c r="N14" s="6" t="s">
        <v>54</v>
      </c>
      <c r="O14" s="6" t="s">
        <v>38</v>
      </c>
      <c r="P14" s="6"/>
      <c r="Q14" s="6"/>
      <c r="R14" s="4"/>
    </row>
    <row r="15" spans="1:18">
      <c r="A15" s="4" t="s">
        <v>55</v>
      </c>
      <c r="B15" s="6">
        <v>4</v>
      </c>
      <c r="C15" s="6" t="s">
        <v>56</v>
      </c>
      <c r="D15" s="6" t="s">
        <v>36</v>
      </c>
      <c r="E15" s="6" t="s">
        <v>57</v>
      </c>
      <c r="F15" s="6" t="s">
        <v>13</v>
      </c>
      <c r="G15" s="7">
        <f>IF($B$5="","",$B$5+4)</f>
        <v>46223</v>
      </c>
      <c r="H15" s="6" t="s">
        <v>38</v>
      </c>
      <c r="I15" s="7">
        <f>IF(G15="","",G15+2)</f>
        <v>46225</v>
      </c>
      <c r="J15" s="7"/>
      <c r="K15" s="6" t="s">
        <v>58</v>
      </c>
      <c r="L15" s="6" t="s">
        <v>59</v>
      </c>
      <c r="M15" s="6" t="s">
        <v>60</v>
      </c>
      <c r="N15" s="6" t="s">
        <v>61</v>
      </c>
      <c r="O15" s="6" t="s">
        <v>38</v>
      </c>
      <c r="P15" s="6" t="s">
        <v>62</v>
      </c>
      <c r="Q15" s="6"/>
      <c r="R15" s="4"/>
    </row>
    <row r="16" spans="1:18">
      <c r="A16" s="4" t="s">
        <v>63</v>
      </c>
      <c r="B16" s="6">
        <v>5</v>
      </c>
      <c r="C16" s="6" t="s">
        <v>64</v>
      </c>
      <c r="D16" s="6" t="s">
        <v>36</v>
      </c>
      <c r="E16" s="6" t="s">
        <v>37</v>
      </c>
      <c r="F16" s="6" t="s">
        <v>13</v>
      </c>
      <c r="G16" s="7">
        <f>IF($B$5="","",$B$5+6)</f>
        <v>46225</v>
      </c>
      <c r="H16" s="6" t="s">
        <v>38</v>
      </c>
      <c r="I16" s="7">
        <f>IF(G16="","",G16+2)</f>
        <v>46227</v>
      </c>
      <c r="J16" s="7"/>
      <c r="K16" s="6" t="s">
        <v>65</v>
      </c>
      <c r="L16" s="6" t="s">
        <v>66</v>
      </c>
      <c r="M16" s="6" t="s">
        <v>67</v>
      </c>
      <c r="N16" s="6" t="s">
        <v>68</v>
      </c>
      <c r="O16" s="6" t="s">
        <v>38</v>
      </c>
      <c r="P16" s="6"/>
      <c r="Q16" s="6"/>
      <c r="R16" s="4"/>
    </row>
    <row r="17" spans="1:18">
      <c r="A17" s="4" t="s">
        <v>69</v>
      </c>
      <c r="B17" s="6">
        <v>6</v>
      </c>
      <c r="C17" s="6" t="s">
        <v>70</v>
      </c>
      <c r="D17" s="6" t="s">
        <v>71</v>
      </c>
      <c r="E17" s="6" t="s">
        <v>37</v>
      </c>
      <c r="F17" s="6" t="s">
        <v>13</v>
      </c>
      <c r="G17" s="7">
        <f>IF($B$5="","",$B$5+8)</f>
        <v>46227</v>
      </c>
      <c r="H17" s="6" t="s">
        <v>38</v>
      </c>
      <c r="I17" s="7">
        <f>IF(G17="","",G17+1)</f>
        <v>46228</v>
      </c>
      <c r="J17" s="7"/>
      <c r="K17" s="6" t="s">
        <v>72</v>
      </c>
      <c r="L17" s="6" t="s">
        <v>73</v>
      </c>
      <c r="M17" s="6" t="s">
        <v>74</v>
      </c>
      <c r="N17" s="6" t="s">
        <v>75</v>
      </c>
      <c r="O17" s="6" t="s">
        <v>38</v>
      </c>
      <c r="P17" s="6"/>
      <c r="Q17" s="6"/>
      <c r="R17" s="4"/>
    </row>
    <row r="18" spans="1:18">
      <c r="A18" s="4" t="s">
        <v>76</v>
      </c>
      <c r="B18" s="6">
        <v>7</v>
      </c>
      <c r="C18" s="6" t="s">
        <v>77</v>
      </c>
      <c r="D18" s="6" t="s">
        <v>71</v>
      </c>
      <c r="E18" s="6" t="s">
        <v>37</v>
      </c>
      <c r="F18" s="6" t="s">
        <v>13</v>
      </c>
      <c r="G18" s="7">
        <f>IF($B$5="","",$B$5+9)</f>
        <v>46228</v>
      </c>
      <c r="H18" s="6" t="s">
        <v>38</v>
      </c>
      <c r="I18" s="7">
        <f>IF(G18="","",G18+1)</f>
        <v>46229</v>
      </c>
      <c r="J18" s="7"/>
      <c r="K18" s="6" t="s">
        <v>78</v>
      </c>
      <c r="L18" s="6" t="s">
        <v>79</v>
      </c>
      <c r="M18" s="6" t="s">
        <v>80</v>
      </c>
      <c r="N18" s="6" t="s">
        <v>81</v>
      </c>
      <c r="O18" s="6" t="s">
        <v>38</v>
      </c>
      <c r="P18" s="6"/>
      <c r="Q18" s="6"/>
      <c r="R18" s="4"/>
    </row>
    <row r="19" spans="1:18">
      <c r="A19" s="4" t="s">
        <v>82</v>
      </c>
      <c r="B19" s="6">
        <v>8</v>
      </c>
      <c r="C19" s="6" t="s">
        <v>83</v>
      </c>
      <c r="D19" s="6" t="s">
        <v>71</v>
      </c>
      <c r="E19" s="6" t="s">
        <v>37</v>
      </c>
      <c r="F19" s="6" t="s">
        <v>13</v>
      </c>
      <c r="G19" s="7">
        <f>IF($B$5="","",$B$5+10)</f>
        <v>46229</v>
      </c>
      <c r="H19" s="6" t="s">
        <v>38</v>
      </c>
      <c r="I19" s="7">
        <f>IF(G19="","",G19+1)</f>
        <v>46230</v>
      </c>
      <c r="J19" s="7"/>
      <c r="K19" s="6" t="s">
        <v>84</v>
      </c>
      <c r="L19" s="6" t="s">
        <v>85</v>
      </c>
      <c r="M19" s="6" t="s">
        <v>86</v>
      </c>
      <c r="N19" s="6" t="s">
        <v>87</v>
      </c>
      <c r="O19" s="6" t="s">
        <v>38</v>
      </c>
      <c r="P19" s="6"/>
      <c r="Q19" s="6"/>
      <c r="R19" s="4"/>
    </row>
    <row r="20" spans="1:18">
      <c r="A20" s="4" t="s">
        <v>88</v>
      </c>
      <c r="B20" s="6">
        <v>9</v>
      </c>
      <c r="C20" s="6" t="s">
        <v>89</v>
      </c>
      <c r="D20" s="6" t="s">
        <v>71</v>
      </c>
      <c r="E20" s="6" t="s">
        <v>37</v>
      </c>
      <c r="F20" s="6" t="s">
        <v>13</v>
      </c>
      <c r="G20" s="7">
        <f>IF($B$5="","",$B$5+11)</f>
        <v>46230</v>
      </c>
      <c r="H20" s="6" t="s">
        <v>38</v>
      </c>
      <c r="I20" s="7">
        <f>IF(G20="","",G20)</f>
        <v>46230</v>
      </c>
      <c r="J20" s="7"/>
      <c r="K20" s="6" t="s">
        <v>90</v>
      </c>
      <c r="L20" s="6" t="s">
        <v>91</v>
      </c>
      <c r="M20" s="6" t="s">
        <v>92</v>
      </c>
      <c r="N20" s="6" t="s">
        <v>93</v>
      </c>
      <c r="O20" s="6" t="s">
        <v>38</v>
      </c>
      <c r="P20" s="6"/>
      <c r="Q20" s="6"/>
      <c r="R20" s="4"/>
    </row>
    <row r="21" spans="1:18">
      <c r="A21" s="4" t="s">
        <v>94</v>
      </c>
      <c r="B21" s="6">
        <v>10</v>
      </c>
      <c r="C21" s="6" t="s">
        <v>95</v>
      </c>
      <c r="D21" s="6" t="s">
        <v>36</v>
      </c>
      <c r="E21" s="6" t="s">
        <v>37</v>
      </c>
      <c r="F21" s="6" t="s">
        <v>96</v>
      </c>
      <c r="G21" s="7">
        <f>IF($B$5="","",$B$5+12)</f>
        <v>46231</v>
      </c>
      <c r="H21" s="6" t="s">
        <v>38</v>
      </c>
      <c r="I21" s="7">
        <f>IF(G21="","",G21+1)</f>
        <v>46232</v>
      </c>
      <c r="J21" s="7"/>
      <c r="K21" s="6" t="s">
        <v>97</v>
      </c>
      <c r="L21" s="6" t="s">
        <v>98</v>
      </c>
      <c r="M21" s="6" t="s">
        <v>99</v>
      </c>
      <c r="N21" s="6" t="s">
        <v>100</v>
      </c>
      <c r="O21" s="6" t="s">
        <v>38</v>
      </c>
      <c r="P21" s="6"/>
      <c r="Q21" s="6"/>
      <c r="R21" s="4"/>
    </row>
    <row r="22" spans="1:18">
      <c r="A22" s="4"/>
      <c r="B22" s="6"/>
      <c r="C22" s="6"/>
      <c r="D22" s="6"/>
      <c r="E22" s="6"/>
      <c r="F22" s="6"/>
      <c r="G22" s="7"/>
      <c r="H22" s="6"/>
      <c r="I22" s="7"/>
      <c r="J22" s="7"/>
      <c r="K22" s="6"/>
      <c r="L22" s="6"/>
      <c r="M22" s="6"/>
      <c r="N22" s="6"/>
      <c r="O22" s="6"/>
      <c r="P22" s="6"/>
      <c r="Q22" s="6"/>
      <c r="R22" s="4"/>
    </row>
    <row r="23" spans="1:18">
      <c r="A23" s="4"/>
      <c r="B23" s="6"/>
      <c r="C23" s="6"/>
      <c r="D23" s="6"/>
      <c r="E23" s="6"/>
      <c r="F23" s="6"/>
      <c r="G23" s="7"/>
      <c r="H23" s="6"/>
      <c r="I23" s="7"/>
      <c r="J23" s="7"/>
      <c r="K23" s="6"/>
      <c r="L23" s="6"/>
      <c r="M23" s="6"/>
      <c r="N23" s="6"/>
      <c r="O23" s="6"/>
      <c r="P23" s="6"/>
      <c r="Q23" s="6"/>
      <c r="R23" s="4"/>
    </row>
    <row r="24" spans="1:18">
      <c r="A24" s="4"/>
      <c r="B24" s="6"/>
      <c r="C24" s="6"/>
      <c r="D24" s="6"/>
      <c r="E24" s="6"/>
      <c r="F24" s="6"/>
      <c r="G24" s="7"/>
      <c r="H24" s="6"/>
      <c r="I24" s="7"/>
      <c r="J24" s="7"/>
      <c r="K24" s="6"/>
      <c r="L24" s="6"/>
      <c r="M24" s="6"/>
      <c r="N24" s="6"/>
      <c r="O24" s="6"/>
      <c r="P24" s="6"/>
      <c r="Q24" s="6"/>
      <c r="R24" s="4"/>
    </row>
    <row r="25" spans="1:18">
      <c r="A25" s="4"/>
      <c r="B25" s="6"/>
      <c r="C25" s="6"/>
      <c r="D25" s="6"/>
      <c r="E25" s="6"/>
      <c r="F25" s="6"/>
      <c r="G25" s="7"/>
      <c r="H25" s="6"/>
      <c r="I25" s="7"/>
      <c r="J25" s="7"/>
      <c r="K25" s="6"/>
      <c r="L25" s="6"/>
      <c r="M25" s="6"/>
      <c r="N25" s="6"/>
      <c r="O25" s="6"/>
      <c r="P25" s="6"/>
      <c r="Q25" s="6"/>
      <c r="R25" s="4"/>
    </row>
    <row r="26" spans="1:18">
      <c r="A26" s="4"/>
      <c r="B26" s="6"/>
      <c r="C26" s="6"/>
      <c r="D26" s="6"/>
      <c r="E26" s="6"/>
      <c r="F26" s="6"/>
      <c r="G26" s="7"/>
      <c r="H26" s="6"/>
      <c r="I26" s="7"/>
      <c r="J26" s="7"/>
      <c r="K26" s="6"/>
      <c r="L26" s="6"/>
      <c r="M26" s="6"/>
      <c r="N26" s="6"/>
      <c r="O26" s="6"/>
      <c r="P26" s="6"/>
      <c r="Q26" s="6"/>
      <c r="R26" s="4"/>
    </row>
    <row r="27" spans="1:18">
      <c r="A27" s="4"/>
      <c r="B27" s="6"/>
      <c r="C27" s="6"/>
      <c r="D27" s="6"/>
      <c r="E27" s="6"/>
      <c r="F27" s="6"/>
      <c r="G27" s="7"/>
      <c r="H27" s="6"/>
      <c r="I27" s="7"/>
      <c r="J27" s="7"/>
      <c r="K27" s="6"/>
      <c r="L27" s="6"/>
      <c r="M27" s="6"/>
      <c r="N27" s="6"/>
      <c r="O27" s="6"/>
      <c r="P27" s="6"/>
      <c r="Q27" s="6"/>
      <c r="R27" s="4"/>
    </row>
    <row r="28" spans="1:18">
      <c r="A28" s="4"/>
      <c r="B28" s="6"/>
      <c r="C28" s="6"/>
      <c r="D28" s="6"/>
      <c r="E28" s="6"/>
      <c r="F28" s="6"/>
      <c r="G28" s="7"/>
      <c r="H28" s="6"/>
      <c r="I28" s="7"/>
      <c r="J28" s="7"/>
      <c r="K28" s="6"/>
      <c r="L28" s="6"/>
      <c r="M28" s="6"/>
      <c r="N28" s="6"/>
      <c r="O28" s="6"/>
      <c r="P28" s="6"/>
      <c r="Q28" s="6"/>
      <c r="R28" s="4"/>
    </row>
    <row r="29" spans="1:18">
      <c r="A29" s="4"/>
      <c r="B29" s="6"/>
      <c r="C29" s="6"/>
      <c r="D29" s="6"/>
      <c r="E29" s="6"/>
      <c r="F29" s="6"/>
      <c r="G29" s="7"/>
      <c r="H29" s="6"/>
      <c r="I29" s="7"/>
      <c r="J29" s="7"/>
      <c r="K29" s="6"/>
      <c r="L29" s="6"/>
      <c r="M29" s="6"/>
      <c r="N29" s="6"/>
      <c r="O29" s="6"/>
      <c r="P29" s="6"/>
      <c r="Q29" s="6"/>
      <c r="R29" s="4"/>
    </row>
    <row r="30" spans="1:18">
      <c r="A30" s="4"/>
      <c r="B30" s="4"/>
      <c r="C30" s="4"/>
      <c r="D30" s="4"/>
      <c r="E30" s="4"/>
      <c r="F30" s="4"/>
      <c r="G30" s="10"/>
      <c r="H30" s="4"/>
      <c r="I30" s="10"/>
      <c r="J30" s="10"/>
      <c r="K30" s="4"/>
      <c r="L30" s="4"/>
      <c r="M30" s="4"/>
      <c r="N30" s="4"/>
      <c r="O30" s="4"/>
      <c r="P30" s="4"/>
      <c r="Q30" s="4"/>
      <c r="R30" s="4"/>
    </row>
  </sheetData>
  <mergeCells count="1">
    <mergeCell ref="A1:R1"/>
  </mergeCells>
  <conditionalFormatting sqref="H12:H30">
    <cfRule type="expression" dxfId="5" priority="1">
      <formula>H12="Cerrado"</formula>
    </cfRule>
    <cfRule type="expression" dxfId="4" priority="2">
      <formula>H12="Bloqueado"</formula>
    </cfRule>
    <cfRule type="expression" dxfId="3" priority="3">
      <formula>H12="En desarrollo"</formula>
    </cfRule>
    <cfRule type="expression" dxfId="2" priority="4">
      <formula>H12="En pruebas"</formula>
    </cfRule>
  </conditionalFormatting>
  <conditionalFormatting sqref="D12:D30">
    <cfRule type="expression" dxfId="1" priority="5">
      <formula>D12="P0"</formula>
    </cfRule>
  </conditionalFormatting>
  <conditionalFormatting sqref="I12:I30">
    <cfRule type="expression" dxfId="0" priority="6">
      <formula>AND($H12&lt;&gt;"Cerrado",$I12&lt;TODAY())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Catálogos!$B$2:$B$5</xm:f>
          </x14:formula1>
          <xm:sqref>D12:D30</xm:sqref>
        </x14:dataValidation>
        <x14:dataValidation type="list" xr:uid="{00000000-0002-0000-0000-000001000000}">
          <x14:formula1>
            <xm:f>Catálogos!$C$2:$C$4</xm:f>
          </x14:formula1>
          <xm:sqref>E12:E30</xm:sqref>
        </x14:dataValidation>
        <x14:dataValidation type="list" xr:uid="{00000000-0002-0000-0000-000002000000}">
          <x14:formula1>
            <xm:f>Catálogos!$F$2:$F$5</xm:f>
          </x14:formula1>
          <xm:sqref>F12:F30</xm:sqref>
        </x14:dataValidation>
        <x14:dataValidation type="list" xr:uid="{00000000-0002-0000-0000-000003000000}">
          <x14:formula1>
            <xm:f>Catálogos!$A$2:$A$8</xm:f>
          </x14:formula1>
          <xm:sqref>H12:H30</xm:sqref>
        </x14:dataValidation>
        <x14:dataValidation type="list" xr:uid="{00000000-0002-0000-0000-000004000000}">
          <x14:formula1>
            <xm:f>Catálogos!$E$2:$E$5</xm:f>
          </x14:formula1>
          <xm:sqref>O12:O30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zoomScaleSheetLayoutView="100" workbookViewId="0"/>
  </sheetViews>
  <sheetFormatPr defaultRowHeight="15"/>
  <cols>
    <col min="1" max="6" width="20" customWidth="1"/>
  </cols>
  <sheetData>
    <row r="1" spans="1:6">
      <c r="A1" s="11" t="s">
        <v>101</v>
      </c>
      <c r="B1" s="11" t="s">
        <v>102</v>
      </c>
      <c r="C1" s="11" t="s">
        <v>103</v>
      </c>
      <c r="D1" s="11" t="s">
        <v>104</v>
      </c>
      <c r="E1" s="11" t="s">
        <v>105</v>
      </c>
      <c r="F1" s="11" t="s">
        <v>106</v>
      </c>
    </row>
    <row r="2" spans="1:6">
      <c r="A2" s="2" t="s">
        <v>38</v>
      </c>
      <c r="B2" t="s">
        <v>36</v>
      </c>
      <c r="C2" t="s">
        <v>37</v>
      </c>
      <c r="D2" t="s">
        <v>107</v>
      </c>
      <c r="E2" t="s">
        <v>38</v>
      </c>
      <c r="F2" s="2" t="s">
        <v>13</v>
      </c>
    </row>
    <row r="3" spans="1:6">
      <c r="A3" s="2" t="s">
        <v>108</v>
      </c>
      <c r="B3" t="s">
        <v>71</v>
      </c>
      <c r="C3" t="s">
        <v>109</v>
      </c>
      <c r="D3" t="s">
        <v>110</v>
      </c>
      <c r="E3" t="s">
        <v>111</v>
      </c>
      <c r="F3" s="2" t="s">
        <v>112</v>
      </c>
    </row>
    <row r="4" spans="1:6">
      <c r="A4" s="2" t="s">
        <v>113</v>
      </c>
      <c r="B4" t="s">
        <v>114</v>
      </c>
      <c r="C4" t="s">
        <v>57</v>
      </c>
      <c r="D4" t="s">
        <v>115</v>
      </c>
      <c r="E4" t="s">
        <v>116</v>
      </c>
      <c r="F4" s="2" t="s">
        <v>117</v>
      </c>
    </row>
    <row r="5" spans="1:6">
      <c r="A5" s="2" t="s">
        <v>118</v>
      </c>
      <c r="B5" t="s">
        <v>119</v>
      </c>
      <c r="D5" t="s">
        <v>120</v>
      </c>
      <c r="E5" t="s">
        <v>121</v>
      </c>
      <c r="F5" s="2" t="s">
        <v>122</v>
      </c>
    </row>
    <row r="6" spans="1:6">
      <c r="A6" s="2" t="s">
        <v>123</v>
      </c>
      <c r="D6" t="s">
        <v>124</v>
      </c>
      <c r="F6" s="2"/>
    </row>
    <row r="7" spans="1:6">
      <c r="A7" s="2" t="s">
        <v>125</v>
      </c>
      <c r="F7" s="2"/>
    </row>
    <row r="8" spans="1:6">
      <c r="A8" s="2" t="s">
        <v>126</v>
      </c>
      <c r="F8" s="2"/>
    </row>
    <row r="9" spans="1:6">
      <c r="A9" s="2"/>
      <c r="F9" s="2"/>
    </row>
    <row r="10" spans="1:6">
      <c r="A10" s="2"/>
      <c r="F10" s="2"/>
    </row>
    <row r="11" spans="1:6">
      <c r="A11" s="2"/>
      <c r="F11" s="2"/>
    </row>
    <row r="12" spans="1:6">
      <c r="A12" s="2"/>
      <c r="F12" s="2"/>
    </row>
    <row r="13" spans="1:6">
      <c r="A13" s="2"/>
      <c r="F13" s="2"/>
    </row>
    <row r="14" spans="1:6">
      <c r="A14" s="2"/>
      <c r="F14" s="2"/>
    </row>
    <row r="15" spans="1:6">
      <c r="A15" s="2"/>
      <c r="F15" s="2"/>
    </row>
    <row r="16" spans="1:6">
      <c r="A16" s="2"/>
      <c r="F16" s="2"/>
    </row>
    <row r="17" spans="1:6">
      <c r="A17" s="2"/>
      <c r="F17" s="2"/>
    </row>
    <row r="18" spans="1:6">
      <c r="A18" s="2"/>
      <c r="F18" s="2"/>
    </row>
    <row r="19" spans="1:6">
      <c r="A19" s="2"/>
      <c r="F19" s="2"/>
    </row>
    <row r="20" spans="1:6">
      <c r="A20" s="2"/>
      <c r="B20" s="2"/>
      <c r="C20" s="2"/>
      <c r="D20" s="2"/>
      <c r="E20" s="2"/>
      <c r="F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zoomScaleNormal="100" zoomScaleSheetLayoutView="100" workbookViewId="0"/>
  </sheetViews>
  <sheetFormatPr defaultRowHeight="15"/>
  <cols>
    <col min="1" max="1" width="18" customWidth="1"/>
    <col min="2" max="2" width="24" customWidth="1"/>
    <col min="4" max="5" width="18" customWidth="1"/>
  </cols>
  <sheetData>
    <row r="1" spans="1:14">
      <c r="A1" s="8" t="s">
        <v>127</v>
      </c>
      <c r="B1" s="8"/>
      <c r="C1" s="8"/>
      <c r="D1" s="8"/>
      <c r="E1" s="8"/>
      <c r="F1" s="8"/>
      <c r="G1" s="8"/>
      <c r="H1" s="8"/>
    </row>
    <row r="3" spans="1:14">
      <c r="A3" s="11" t="s">
        <v>128</v>
      </c>
      <c r="B3" s="11" t="s">
        <v>4</v>
      </c>
      <c r="C3" s="2"/>
      <c r="D3" s="11" t="s">
        <v>23</v>
      </c>
      <c r="E3" s="11" t="s">
        <v>129</v>
      </c>
      <c r="F3" s="2"/>
      <c r="G3" s="2"/>
      <c r="H3" s="2"/>
      <c r="I3" s="2"/>
      <c r="J3" s="2"/>
      <c r="K3" s="2"/>
      <c r="L3" s="2"/>
      <c r="M3" s="2"/>
      <c r="N3" s="2"/>
    </row>
    <row r="4" spans="1:14">
      <c r="A4" s="2" t="s">
        <v>7</v>
      </c>
      <c r="B4" s="2">
        <f>'MVP Control'!E4</f>
        <v>10</v>
      </c>
      <c r="D4" s="2" t="s">
        <v>38</v>
      </c>
      <c r="E4" s="2">
        <f>COUNTIF('MVP Control'!H12:H30,D4)</f>
        <v>10</v>
      </c>
      <c r="N4" s="2"/>
    </row>
    <row r="5" spans="1:14">
      <c r="A5" s="2" t="s">
        <v>9</v>
      </c>
      <c r="B5" s="2">
        <f>'MVP Control'!E5</f>
        <v>0</v>
      </c>
      <c r="D5" s="2" t="s">
        <v>108</v>
      </c>
      <c r="E5" s="2">
        <f>COUNTIF('MVP Control'!H12:H30,D5)</f>
        <v>0</v>
      </c>
      <c r="N5" s="2"/>
    </row>
    <row r="6" spans="1:14">
      <c r="A6" s="2" t="s">
        <v>11</v>
      </c>
      <c r="B6" s="2">
        <f>'MVP Control'!E6</f>
        <v>0</v>
      </c>
      <c r="D6" s="2" t="s">
        <v>113</v>
      </c>
      <c r="E6" s="2">
        <f>COUNTIF('MVP Control'!H12:H30,D6)</f>
        <v>0</v>
      </c>
      <c r="N6" s="2"/>
    </row>
    <row r="7" spans="1:14">
      <c r="A7" s="2" t="s">
        <v>14</v>
      </c>
      <c r="B7" s="2">
        <f>'MVP Control'!E7</f>
        <v>0</v>
      </c>
      <c r="D7" s="2" t="s">
        <v>118</v>
      </c>
      <c r="E7" s="2">
        <f>COUNTIF('MVP Control'!H12:H30,D7)</f>
        <v>0</v>
      </c>
      <c r="N7" s="2"/>
    </row>
    <row r="8" spans="1:14">
      <c r="A8" s="2" t="s">
        <v>15</v>
      </c>
      <c r="B8" s="5">
        <f>'MVP Control'!E8</f>
        <v>0</v>
      </c>
      <c r="D8" s="2" t="s">
        <v>123</v>
      </c>
      <c r="E8" s="2">
        <f>COUNTIF('MVP Control'!H12:H30,D8)</f>
        <v>0</v>
      </c>
      <c r="N8" s="2"/>
    </row>
    <row r="9" spans="1:14">
      <c r="A9" s="2"/>
      <c r="D9" s="2" t="s">
        <v>125</v>
      </c>
      <c r="E9" s="2">
        <f>COUNTIF('MVP Control'!H12:H30,D9)</f>
        <v>0</v>
      </c>
      <c r="N9" s="2"/>
    </row>
    <row r="10" spans="1:14">
      <c r="A10" s="2"/>
      <c r="D10" s="2" t="s">
        <v>126</v>
      </c>
      <c r="E10" s="2">
        <f>COUNTIF('MVP Control'!H12:H30,D10)</f>
        <v>0</v>
      </c>
      <c r="N10" s="2"/>
    </row>
    <row r="11" spans="1:14">
      <c r="A11" s="2"/>
      <c r="N11" s="2"/>
    </row>
    <row r="12" spans="1:14">
      <c r="A12" s="9" t="s">
        <v>130</v>
      </c>
      <c r="B12" s="3" t="s">
        <v>130</v>
      </c>
      <c r="C12" s="3" t="s">
        <v>130</v>
      </c>
      <c r="D12" s="3" t="s">
        <v>130</v>
      </c>
      <c r="E12" s="3" t="s">
        <v>130</v>
      </c>
      <c r="F12" s="3" t="s">
        <v>130</v>
      </c>
      <c r="G12" s="3" t="s">
        <v>130</v>
      </c>
      <c r="H12" s="3" t="s">
        <v>130</v>
      </c>
      <c r="N12" s="2"/>
    </row>
    <row r="13" spans="1:14">
      <c r="A13" s="4" t="s">
        <v>131</v>
      </c>
      <c r="B13" s="6" t="s">
        <v>132</v>
      </c>
      <c r="C13" s="6"/>
      <c r="D13" s="6"/>
      <c r="E13" s="6"/>
      <c r="F13" s="6"/>
      <c r="G13" s="6"/>
      <c r="H13" s="6"/>
      <c r="N13" s="2"/>
    </row>
    <row r="14" spans="1:14">
      <c r="A14" s="4" t="s">
        <v>133</v>
      </c>
      <c r="B14" s="6" t="s">
        <v>134</v>
      </c>
      <c r="C14" s="6"/>
      <c r="D14" s="6"/>
      <c r="E14" s="6"/>
      <c r="F14" s="6"/>
      <c r="G14" s="6"/>
      <c r="H14" s="6"/>
      <c r="N14" s="2"/>
    </row>
    <row r="15" spans="1:14">
      <c r="A15" s="4" t="s">
        <v>135</v>
      </c>
      <c r="B15" s="6" t="s">
        <v>136</v>
      </c>
      <c r="C15" s="6"/>
      <c r="D15" s="6"/>
      <c r="E15" s="6"/>
      <c r="F15" s="6"/>
      <c r="G15" s="6"/>
      <c r="H15" s="6"/>
      <c r="N15" s="2"/>
    </row>
    <row r="16" spans="1:14">
      <c r="A16" s="4" t="s">
        <v>137</v>
      </c>
      <c r="B16" s="6" t="s">
        <v>138</v>
      </c>
      <c r="C16" s="6"/>
      <c r="D16" s="6"/>
      <c r="E16" s="6"/>
      <c r="F16" s="6"/>
      <c r="G16" s="6"/>
      <c r="H16" s="6"/>
      <c r="N16" s="2"/>
    </row>
    <row r="17" spans="1:14">
      <c r="A17" s="4" t="s">
        <v>139</v>
      </c>
      <c r="B17" s="6" t="s">
        <v>140</v>
      </c>
      <c r="C17" s="6"/>
      <c r="D17" s="6"/>
      <c r="E17" s="6"/>
      <c r="F17" s="6"/>
      <c r="G17" s="6"/>
      <c r="H17" s="6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zoomScaleNormal="100" zoomScaleSheetLayoutView="100" workbookViewId="0"/>
  </sheetViews>
  <sheetFormatPr defaultRowHeight="15"/>
  <cols>
    <col min="1" max="1" width="8" customWidth="1"/>
    <col min="2" max="2" width="38" customWidth="1"/>
    <col min="3" max="3" width="18" customWidth="1"/>
    <col min="4" max="4" width="30" customWidth="1"/>
    <col min="5" max="5" width="24" customWidth="1"/>
    <col min="6" max="6" width="28" customWidth="1"/>
  </cols>
  <sheetData>
    <row r="1" spans="1:6">
      <c r="A1" s="8" t="s">
        <v>141</v>
      </c>
      <c r="B1" s="8"/>
      <c r="C1" s="8"/>
      <c r="D1" s="8"/>
      <c r="E1" s="8"/>
      <c r="F1" s="8"/>
    </row>
    <row r="3" spans="1:6">
      <c r="A3" s="11" t="s">
        <v>142</v>
      </c>
      <c r="B3" s="11" t="s">
        <v>143</v>
      </c>
      <c r="C3" s="11" t="s">
        <v>21</v>
      </c>
      <c r="D3" s="11" t="s">
        <v>144</v>
      </c>
      <c r="E3" s="11" t="s">
        <v>145</v>
      </c>
      <c r="F3" s="11" t="s">
        <v>146</v>
      </c>
    </row>
    <row r="4" spans="1:6">
      <c r="A4" s="4">
        <v>1</v>
      </c>
      <c r="B4" s="6" t="s">
        <v>147</v>
      </c>
      <c r="C4" s="6" t="s">
        <v>148</v>
      </c>
      <c r="D4" s="6" t="s">
        <v>149</v>
      </c>
      <c r="E4" s="6" t="s">
        <v>150</v>
      </c>
      <c r="F4" s="4" t="s">
        <v>151</v>
      </c>
    </row>
    <row r="5" spans="1:6">
      <c r="A5" s="4">
        <v>2</v>
      </c>
      <c r="B5" s="6" t="s">
        <v>152</v>
      </c>
      <c r="C5" s="6" t="s">
        <v>13</v>
      </c>
      <c r="D5" s="6" t="s">
        <v>153</v>
      </c>
      <c r="E5" s="6" t="s">
        <v>154</v>
      </c>
      <c r="F5" s="4" t="s">
        <v>155</v>
      </c>
    </row>
    <row r="6" spans="1:6">
      <c r="A6" s="4">
        <v>3</v>
      </c>
      <c r="B6" s="6" t="s">
        <v>156</v>
      </c>
      <c r="C6" s="6" t="s">
        <v>13</v>
      </c>
      <c r="D6" s="6" t="s">
        <v>157</v>
      </c>
      <c r="E6" s="6" t="s">
        <v>158</v>
      </c>
      <c r="F6" s="4" t="s">
        <v>159</v>
      </c>
    </row>
    <row r="7" spans="1:6">
      <c r="A7" s="4">
        <v>4</v>
      </c>
      <c r="B7" s="6" t="s">
        <v>160</v>
      </c>
      <c r="C7" s="6" t="s">
        <v>13</v>
      </c>
      <c r="D7" s="6" t="s">
        <v>161</v>
      </c>
      <c r="E7" s="6" t="s">
        <v>162</v>
      </c>
      <c r="F7" s="4" t="s">
        <v>163</v>
      </c>
    </row>
    <row r="8" spans="1:6">
      <c r="A8" s="4">
        <v>5</v>
      </c>
      <c r="B8" s="6" t="s">
        <v>164</v>
      </c>
      <c r="C8" s="6" t="s">
        <v>96</v>
      </c>
      <c r="D8" s="6" t="s">
        <v>165</v>
      </c>
      <c r="E8" s="6" t="s">
        <v>166</v>
      </c>
      <c r="F8" s="4" t="s">
        <v>167</v>
      </c>
    </row>
    <row r="9" spans="1:6">
      <c r="A9" s="4">
        <v>6</v>
      </c>
      <c r="B9" s="6" t="s">
        <v>168</v>
      </c>
      <c r="C9" s="6" t="s">
        <v>13</v>
      </c>
      <c r="D9" s="6" t="s">
        <v>169</v>
      </c>
      <c r="E9" s="6" t="s">
        <v>170</v>
      </c>
      <c r="F9" s="4" t="s">
        <v>171</v>
      </c>
    </row>
    <row r="10" spans="1:6">
      <c r="A10" s="4">
        <v>7</v>
      </c>
      <c r="B10" s="4" t="s">
        <v>172</v>
      </c>
      <c r="C10" s="4" t="s">
        <v>112</v>
      </c>
      <c r="D10" s="4" t="s">
        <v>173</v>
      </c>
      <c r="E10" s="4" t="s">
        <v>174</v>
      </c>
      <c r="F10" s="4" t="s">
        <v>175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israelrc</cp:lastModifiedBy>
  <cp:revision/>
  <dcterms:created xsi:type="dcterms:W3CDTF">2026-07-16T16:14:21Z</dcterms:created>
  <dcterms:modified xsi:type="dcterms:W3CDTF">2026-07-16T16:14:21Z</dcterms:modified>
  <cp:category/>
  <cp:contentStatus/>
</cp:coreProperties>
</file>